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ock\OneDrive\Documents\"/>
    </mc:Choice>
  </mc:AlternateContent>
  <xr:revisionPtr revIDLastSave="0" documentId="13_ncr:1_{F6FE2A6A-B335-4AF7-8205-8A5F1D7FEBC7}" xr6:coauthVersionLast="45" xr6:coauthVersionMax="45" xr10:uidLastSave="{00000000-0000-0000-0000-000000000000}"/>
  <bookViews>
    <workbookView xWindow="13665" yWindow="300" windowWidth="14025" windowHeight="15120" activeTab="1" xr2:uid="{00000000-000D-0000-FFFF-FFFF00000000}"/>
  </bookViews>
  <sheets>
    <sheet name="Documentation" sheetId="1" r:id="rId1"/>
    <sheet name="Receipt" sheetId="2" r:id="rId2"/>
    <sheet name="Registration Data" sheetId="3" r:id="rId3"/>
  </sheets>
  <definedNames>
    <definedName name="author">Documentation!$B$4</definedName>
    <definedName name="City_Prov._Postal_Code">Receipt!$B$10</definedName>
    <definedName name="Event">Receipt!$B$5</definedName>
    <definedName name="Events">Receipt!$A$14:$B$16</definedName>
    <definedName name="Grade">Receipt!$B$6</definedName>
    <definedName name="Guardian">Receipt!$B$8</definedName>
    <definedName name="Registation_Date">Receipt!$B$3</definedName>
    <definedName name="Registration_Data">Receipt!$B$3:$B$11</definedName>
    <definedName name="Shirt_Size">Receipt!$B$7</definedName>
    <definedName name="Street_Address">Receipt!$B$9</definedName>
    <definedName name="Telephone">Receipt!$B$11</definedName>
    <definedName name="Youth_Info">Receipt!$D$4:$E$8</definedName>
    <definedName name="Youth_Name">Receipt!$B$4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3" l="1"/>
  <c r="D6" i="3"/>
  <c r="C6" i="3"/>
  <c r="B6" i="3"/>
  <c r="A6" i="3"/>
  <c r="E5" i="3"/>
  <c r="D5" i="3"/>
  <c r="C5" i="3"/>
  <c r="B5" i="3"/>
  <c r="A5" i="3"/>
  <c r="E40" i="2"/>
  <c r="D40" i="2"/>
  <c r="C40" i="2"/>
  <c r="B40" i="2"/>
  <c r="E25" i="2"/>
  <c r="E30" i="2"/>
  <c r="E29" i="2"/>
  <c r="E28" i="2"/>
  <c r="E27" i="2"/>
  <c r="B30" i="2"/>
  <c r="B29" i="2"/>
  <c r="B28" i="2"/>
  <c r="B27" i="2"/>
  <c r="A40" i="2"/>
  <c r="E36" i="2" l="1"/>
</calcChain>
</file>

<file path=xl/sharedStrings.xml><?xml version="1.0" encoding="utf-8"?>
<sst xmlns="http://schemas.openxmlformats.org/spreadsheetml/2006/main" count="81" uniqueCount="52">
  <si>
    <t>Registration Data</t>
  </si>
  <si>
    <t>Registration Date</t>
  </si>
  <si>
    <t>Shirt Size</t>
  </si>
  <si>
    <t>Address</t>
  </si>
  <si>
    <t>Telephone</t>
  </si>
  <si>
    <t>M</t>
  </si>
  <si>
    <t>L</t>
  </si>
  <si>
    <t>XL</t>
  </si>
  <si>
    <t xml:space="preserve"> </t>
  </si>
  <si>
    <t>Total</t>
  </si>
  <si>
    <t xml:space="preserve">S </t>
  </si>
  <si>
    <t>XS</t>
  </si>
  <si>
    <t>Youth Name</t>
  </si>
  <si>
    <t>Youth Info</t>
  </si>
  <si>
    <t>Frank Donnelly</t>
  </si>
  <si>
    <t>S</t>
  </si>
  <si>
    <t>Event</t>
  </si>
  <si>
    <t>Event Registration Receipt</t>
  </si>
  <si>
    <t>Author</t>
  </si>
  <si>
    <t>Date</t>
  </si>
  <si>
    <t>Purpose</t>
  </si>
  <si>
    <t>Grade</t>
  </si>
  <si>
    <t>Hip-Hop Dance</t>
  </si>
  <si>
    <t>Secret Agent Day</t>
  </si>
  <si>
    <t>Zombietron Workshop</t>
  </si>
  <si>
    <t>G1</t>
  </si>
  <si>
    <t>G2</t>
  </si>
  <si>
    <t>G3</t>
  </si>
  <si>
    <t>G4</t>
  </si>
  <si>
    <t>G5</t>
  </si>
  <si>
    <t>Transfer Area</t>
  </si>
  <si>
    <t>747 Main Street</t>
  </si>
  <si>
    <t>Guardian</t>
  </si>
  <si>
    <t>Events</t>
  </si>
  <si>
    <t>Ella Donnelly</t>
  </si>
  <si>
    <t>City Prov. Postal Code</t>
  </si>
  <si>
    <t>Sam Seawall</t>
  </si>
  <si>
    <t>To collect registration information for Winter Youth Events and print receipts.</t>
  </si>
  <si>
    <t>Jindi Agrawal</t>
  </si>
  <si>
    <t>519-555-1243</t>
  </si>
  <si>
    <t>519-555-3333</t>
  </si>
  <si>
    <t>519-555-3456</t>
  </si>
  <si>
    <t>Samra Agrawal</t>
  </si>
  <si>
    <t>Northport Youth Center - Events</t>
  </si>
  <si>
    <t>Northport, ON N2K 3C5</t>
  </si>
  <si>
    <t>Binod Ewall</t>
  </si>
  <si>
    <t>Brock Ryan</t>
  </si>
  <si>
    <t>Henry Boardman</t>
  </si>
  <si>
    <t>Tiffa Boardman</t>
  </si>
  <si>
    <t>331 Walnut Ave.</t>
  </si>
  <si>
    <t>Northport, ON N2K 3C6</t>
  </si>
  <si>
    <t>519-555-1234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</si>
</sst>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17" x14ac:knownFonts="1">
    <font>
      <sz val="11"/>
      <color theme="1"/>
      <name val="Gill Sans MT"/>
      <family val="2"/>
      <scheme val="minor"/>
    </font>
    <font>
      <sz val="11"/>
      <color theme="1"/>
      <name val="Bookman Old Style"/>
      <family val="1"/>
    </font>
    <font>
      <sz val="11"/>
      <color theme="1"/>
      <name val="Gill Sans MT"/>
      <family val="2"/>
      <scheme val="minor"/>
    </font>
    <font>
      <sz val="11"/>
      <color theme="5" tint="-0.249977111117893"/>
      <name val="Bookman Old Style"/>
      <family val="1"/>
    </font>
    <font>
      <sz val="11"/>
      <color theme="1"/>
      <name val="Centaur"/>
      <family val="1"/>
    </font>
    <font>
      <b/>
      <sz val="16"/>
      <color theme="4" tint="-0.249977111117893"/>
      <name val="Centaur"/>
      <family val="1"/>
    </font>
    <font>
      <sz val="10"/>
      <color theme="1"/>
      <name val="Calibri"/>
      <family val="2"/>
    </font>
    <font>
      <b/>
      <sz val="14"/>
      <color theme="4" tint="-0.499984740745262"/>
      <name val="Calibri"/>
      <family val="2"/>
    </font>
    <font>
      <sz val="11"/>
      <color theme="1"/>
      <name val="Calibri"/>
      <family val="2"/>
    </font>
    <font>
      <b/>
      <sz val="12"/>
      <color theme="4" tint="-0.249977111117893"/>
      <name val="Calibri"/>
      <family val="2"/>
    </font>
    <font>
      <sz val="12"/>
      <color theme="4" tint="-0.249977111117893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1"/>
      <name val="Calibri"/>
      <family val="2"/>
    </font>
    <font>
      <sz val="12"/>
      <color theme="1"/>
      <name val="Gill Sans MT"/>
      <family val="2"/>
      <scheme val="minor"/>
    </font>
    <font>
      <sz val="18"/>
      <color theme="3"/>
      <name val="Impact"/>
      <family val="2"/>
      <scheme val="major"/>
    </font>
    <font>
      <sz val="11"/>
      <color rgb="FF3F3F76"/>
      <name val="Gill Sans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99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6" borderId="14" applyNumberFormat="0" applyAlignment="0" applyProtection="0"/>
  </cellStyleXfs>
  <cellXfs count="61">
    <xf numFmtId="0" fontId="0" fillId="0" borderId="0" xfId="0"/>
    <xf numFmtId="0" fontId="1" fillId="0" borderId="0" xfId="0" applyFont="1"/>
    <xf numFmtId="0" fontId="3" fillId="0" borderId="0" xfId="0" applyFont="1"/>
    <xf numFmtId="0" fontId="1" fillId="4" borderId="2" xfId="0" applyFont="1" applyFill="1" applyBorder="1"/>
    <xf numFmtId="0" fontId="1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4" fillId="4" borderId="10" xfId="0" applyFont="1" applyFill="1" applyBorder="1"/>
    <xf numFmtId="0" fontId="4" fillId="4" borderId="0" xfId="0" applyFont="1" applyFill="1" applyBorder="1"/>
    <xf numFmtId="0" fontId="4" fillId="4" borderId="5" xfId="0" applyFont="1" applyFill="1" applyBorder="1"/>
    <xf numFmtId="0" fontId="4" fillId="4" borderId="1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8" fillId="4" borderId="10" xfId="0" applyFont="1" applyFill="1" applyBorder="1"/>
    <xf numFmtId="0" fontId="8" fillId="4" borderId="0" xfId="0" applyFont="1" applyFill="1" applyBorder="1"/>
    <xf numFmtId="0" fontId="8" fillId="4" borderId="5" xfId="0" applyFont="1" applyFill="1" applyBorder="1"/>
    <xf numFmtId="0" fontId="10" fillId="4" borderId="0" xfId="0" applyFont="1" applyFill="1" applyBorder="1"/>
    <xf numFmtId="0" fontId="9" fillId="4" borderId="10" xfId="0" applyFont="1" applyFill="1" applyBorder="1"/>
    <xf numFmtId="0" fontId="6" fillId="4" borderId="0" xfId="0" applyFont="1" applyFill="1" applyBorder="1" applyAlignment="1"/>
    <xf numFmtId="0" fontId="6" fillId="4" borderId="0" xfId="0" applyFont="1" applyFill="1" applyBorder="1" applyAlignment="1">
      <alignment horizontal="left"/>
    </xf>
    <xf numFmtId="0" fontId="6" fillId="4" borderId="5" xfId="0" applyFont="1" applyFill="1" applyBorder="1"/>
    <xf numFmtId="0" fontId="8" fillId="4" borderId="0" xfId="0" applyFont="1" applyFill="1" applyBorder="1" applyAlignment="1"/>
    <xf numFmtId="165" fontId="11" fillId="5" borderId="0" xfId="1" applyNumberFormat="1" applyFont="1" applyFill="1" applyBorder="1" applyAlignment="1">
      <alignment horizontal="right"/>
    </xf>
    <xf numFmtId="0" fontId="11" fillId="0" borderId="0" xfId="0" applyFont="1"/>
    <xf numFmtId="0" fontId="8" fillId="0" borderId="1" xfId="0" applyFont="1" applyBorder="1"/>
    <xf numFmtId="0" fontId="8" fillId="0" borderId="0" xfId="0" applyFont="1"/>
    <xf numFmtId="0" fontId="12" fillId="3" borderId="1" xfId="0" applyFont="1" applyFill="1" applyBorder="1" applyAlignment="1">
      <alignment horizontal="center" wrapText="1"/>
    </xf>
    <xf numFmtId="0" fontId="12" fillId="3" borderId="12" xfId="0" applyFont="1" applyFill="1" applyBorder="1" applyAlignment="1">
      <alignment horizontal="left"/>
    </xf>
    <xf numFmtId="0" fontId="12" fillId="3" borderId="12" xfId="0" applyFont="1" applyFill="1" applyBorder="1" applyAlignment="1">
      <alignment horizontal="left" indent="1"/>
    </xf>
    <xf numFmtId="0" fontId="11" fillId="0" borderId="1" xfId="0" applyFont="1" applyBorder="1"/>
    <xf numFmtId="0" fontId="13" fillId="2" borderId="1" xfId="0" applyFont="1" applyFill="1" applyBorder="1" applyAlignment="1">
      <alignment wrapText="1"/>
    </xf>
    <xf numFmtId="0" fontId="9" fillId="4" borderId="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12" fillId="0" borderId="12" xfId="0" applyFont="1" applyFill="1" applyBorder="1" applyAlignment="1"/>
    <xf numFmtId="0" fontId="12" fillId="0" borderId="1" xfId="0" applyFont="1" applyBorder="1"/>
    <xf numFmtId="0" fontId="12" fillId="0" borderId="1" xfId="0" applyFont="1" applyFill="1" applyBorder="1" applyAlignment="1">
      <alignment wrapText="1"/>
    </xf>
    <xf numFmtId="0" fontId="14" fillId="0" borderId="1" xfId="0" applyFont="1" applyFill="1" applyBorder="1"/>
    <xf numFmtId="0" fontId="16" fillId="6" borderId="14" xfId="3"/>
    <xf numFmtId="0" fontId="15" fillId="0" borderId="0" xfId="2"/>
    <xf numFmtId="14" fontId="6" fillId="0" borderId="9" xfId="0" applyNumberFormat="1" applyFont="1" applyFill="1" applyBorder="1" applyProtection="1">
      <protection locked="0"/>
    </xf>
    <xf numFmtId="0" fontId="6" fillId="0" borderId="1" xfId="0" applyFont="1" applyFill="1" applyBorder="1" applyAlignment="1" applyProtection="1">
      <protection locked="0"/>
    </xf>
    <xf numFmtId="0" fontId="6" fillId="0" borderId="1" xfId="0" applyFont="1" applyFill="1" applyBorder="1" applyProtection="1">
      <protection locked="0"/>
    </xf>
    <xf numFmtId="0" fontId="6" fillId="0" borderId="6" xfId="0" applyFont="1" applyFill="1" applyBorder="1" applyAlignment="1" applyProtection="1">
      <protection locked="0"/>
    </xf>
    <xf numFmtId="0" fontId="6" fillId="4" borderId="0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12" fillId="5" borderId="12" xfId="0" applyFont="1" applyFill="1" applyBorder="1" applyAlignment="1">
      <alignment horizontal="center"/>
    </xf>
    <xf numFmtId="0" fontId="12" fillId="5" borderId="13" xfId="0" applyFont="1" applyFill="1" applyBorder="1" applyAlignment="1">
      <alignment horizontal="center"/>
    </xf>
    <xf numFmtId="0" fontId="9" fillId="5" borderId="0" xfId="0" applyFont="1" applyFill="1" applyBorder="1" applyAlignment="1">
      <alignment horizontal="left"/>
    </xf>
    <xf numFmtId="0" fontId="5" fillId="4" borderId="1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 wrapText="1"/>
    </xf>
    <xf numFmtId="0" fontId="12" fillId="3" borderId="13" xfId="0" applyFont="1" applyFill="1" applyBorder="1" applyAlignment="1">
      <alignment horizontal="center" wrapText="1"/>
    </xf>
    <xf numFmtId="0" fontId="9" fillId="4" borderId="0" xfId="0" applyFont="1" applyFill="1" applyBorder="1" applyAlignment="1">
      <alignment horizontal="left"/>
    </xf>
    <xf numFmtId="0" fontId="7" fillId="4" borderId="1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14" fontId="16" fillId="6" borderId="14" xfId="3" applyNumberFormat="1"/>
    <xf numFmtId="14" fontId="6" fillId="4" borderId="0" xfId="0" applyNumberFormat="1" applyFont="1" applyFill="1" applyBorder="1"/>
  </cellXfs>
  <cellStyles count="4">
    <cellStyle name="Currency" xfId="1" builtinId="4"/>
    <cellStyle name="Input" xfId="3" builtinId="20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1022298</xdr:colOff>
          <xdr:row>9</xdr:row>
          <xdr:rowOff>41938</xdr:rowOff>
        </xdr:from>
        <xdr:to>
          <xdr:col>4</xdr:col>
          <xdr:colOff>1214786</xdr:colOff>
          <xdr:row>10</xdr:row>
          <xdr:rowOff>184813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1DD2627-6C56-4CCE-893C-A41295692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Gill Sans MT"/>
                </a:rPr>
                <a:t>Print PDF Receipt.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47625</xdr:rowOff>
        </xdr:from>
        <xdr:to>
          <xdr:col>4</xdr:col>
          <xdr:colOff>1238250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FAAFD66-9236-4ADA-B661-7D394F43F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Gill Sans MT"/>
                </a:rPr>
                <a:t>Transfer Data.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Badg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Badge">
      <a:majorFont>
        <a:latin typeface="Impact" panose="020B080603090205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メイリオ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adg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5080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algn="ctr" rotWithShape="0">
              <a:srgbClr val="000000">
                <a:alpha val="2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dge" id="{71A07785-5930-41D4-9A83-E23602B48E98}" vid="{771EA782-DFA6-45B1-AEA3-661F1715B31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6"/>
  <sheetViews>
    <sheetView zoomScale="120" zoomScaleNormal="120" workbookViewId="0">
      <selection activeCell="B9" sqref="B9"/>
    </sheetView>
  </sheetViews>
  <sheetFormatPr defaultColWidth="8.875" defaultRowHeight="15" x14ac:dyDescent="0.25"/>
  <cols>
    <col min="1" max="1" width="11.75" style="1" customWidth="1"/>
    <col min="2" max="2" width="40" style="1" customWidth="1"/>
    <col min="3" max="16384" width="8.875" style="1"/>
  </cols>
  <sheetData>
    <row r="1" spans="1:2" ht="24.75" customHeight="1" x14ac:dyDescent="0.3">
      <c r="A1" s="38" t="s">
        <v>43</v>
      </c>
      <c r="B1" s="2"/>
    </row>
    <row r="2" spans="1:2" ht="17.25" x14ac:dyDescent="0.35">
      <c r="A2"/>
    </row>
    <row r="4" spans="1:2" ht="17.25" x14ac:dyDescent="0.35">
      <c r="A4" s="29" t="s">
        <v>18</v>
      </c>
      <c r="B4" s="37" t="s">
        <v>46</v>
      </c>
    </row>
    <row r="5" spans="1:2" ht="17.25" x14ac:dyDescent="0.35">
      <c r="A5" s="29" t="s">
        <v>19</v>
      </c>
      <c r="B5" s="59">
        <v>43845</v>
      </c>
    </row>
    <row r="6" spans="1:2" ht="30" x14ac:dyDescent="0.25">
      <c r="A6" s="29" t="s">
        <v>20</v>
      </c>
      <c r="B6" s="30" t="s">
        <v>37</v>
      </c>
    </row>
    <row r="7" spans="1:2" s="25" customFormat="1" x14ac:dyDescent="0.25"/>
    <row r="8" spans="1:2" s="25" customFormat="1" x14ac:dyDescent="0.25"/>
    <row r="9" spans="1:2" s="25" customFormat="1" x14ac:dyDescent="0.25"/>
    <row r="10" spans="1:2" s="25" customFormat="1" x14ac:dyDescent="0.25"/>
    <row r="11" spans="1:2" s="25" customFormat="1" x14ac:dyDescent="0.25"/>
    <row r="12" spans="1:2" s="25" customFormat="1" x14ac:dyDescent="0.25"/>
    <row r="13" spans="1:2" s="25" customFormat="1" x14ac:dyDescent="0.25"/>
    <row r="14" spans="1:2" s="25" customFormat="1" x14ac:dyDescent="0.25"/>
    <row r="15" spans="1:2" s="25" customFormat="1" x14ac:dyDescent="0.25"/>
    <row r="16" spans="1:2" s="25" customFormat="1" x14ac:dyDescent="0.25"/>
    <row r="17" s="25" customFormat="1" x14ac:dyDescent="0.25"/>
    <row r="18" s="25" customFormat="1" x14ac:dyDescent="0.25"/>
    <row r="19" s="25" customFormat="1" x14ac:dyDescent="0.25"/>
    <row r="20" s="25" customFormat="1" x14ac:dyDescent="0.25"/>
    <row r="21" s="25" customFormat="1" x14ac:dyDescent="0.25"/>
    <row r="22" s="25" customFormat="1" x14ac:dyDescent="0.25"/>
    <row r="23" s="25" customFormat="1" x14ac:dyDescent="0.25"/>
    <row r="24" s="25" customFormat="1" x14ac:dyDescent="0.25"/>
    <row r="25" s="25" customFormat="1" x14ac:dyDescent="0.25"/>
    <row r="26" s="25" customFormat="1" x14ac:dyDescent="0.25"/>
    <row r="27" s="25" customFormat="1" x14ac:dyDescent="0.25"/>
    <row r="28" s="25" customFormat="1" x14ac:dyDescent="0.25"/>
    <row r="29" s="25" customFormat="1" x14ac:dyDescent="0.25"/>
    <row r="30" s="25" customFormat="1" x14ac:dyDescent="0.25"/>
    <row r="31" s="25" customFormat="1" x14ac:dyDescent="0.25"/>
    <row r="32" s="25" customFormat="1" x14ac:dyDescent="0.25"/>
    <row r="33" s="25" customFormat="1" x14ac:dyDescent="0.25"/>
    <row r="34" s="25" customFormat="1" x14ac:dyDescent="0.25"/>
    <row r="35" s="25" customFormat="1" x14ac:dyDescent="0.25"/>
    <row r="36" s="25" customFormat="1" x14ac:dyDescent="0.25"/>
    <row r="37" s="25" customFormat="1" x14ac:dyDescent="0.25"/>
    <row r="38" s="25" customFormat="1" x14ac:dyDescent="0.25"/>
    <row r="39" s="25" customFormat="1" x14ac:dyDescent="0.25"/>
    <row r="40" s="25" customFormat="1" x14ac:dyDescent="0.25"/>
    <row r="41" s="25" customFormat="1" x14ac:dyDescent="0.25"/>
    <row r="42" s="25" customFormat="1" x14ac:dyDescent="0.25"/>
    <row r="43" s="25" customFormat="1" x14ac:dyDescent="0.25"/>
    <row r="44" s="25" customFormat="1" x14ac:dyDescent="0.25"/>
    <row r="45" s="25" customFormat="1" x14ac:dyDescent="0.25"/>
    <row r="46" s="25" customFormat="1" x14ac:dyDescent="0.25"/>
    <row r="47" s="25" customFormat="1" x14ac:dyDescent="0.25"/>
    <row r="48" s="25" customFormat="1" x14ac:dyDescent="0.25"/>
    <row r="49" s="25" customFormat="1" x14ac:dyDescent="0.25"/>
    <row r="50" s="25" customFormat="1" x14ac:dyDescent="0.25"/>
    <row r="51" s="25" customFormat="1" x14ac:dyDescent="0.25"/>
    <row r="52" s="25" customFormat="1" x14ac:dyDescent="0.25"/>
    <row r="53" s="25" customFormat="1" x14ac:dyDescent="0.25"/>
    <row r="54" s="25" customFormat="1" x14ac:dyDescent="0.25"/>
    <row r="55" s="25" customFormat="1" x14ac:dyDescent="0.25"/>
    <row r="56" s="25" customFormat="1" x14ac:dyDescent="0.25"/>
    <row r="57" s="25" customFormat="1" x14ac:dyDescent="0.25"/>
    <row r="58" s="25" customFormat="1" x14ac:dyDescent="0.25"/>
    <row r="59" s="25" customFormat="1" x14ac:dyDescent="0.25"/>
    <row r="60" s="25" customFormat="1" x14ac:dyDescent="0.25"/>
    <row r="61" s="25" customFormat="1" x14ac:dyDescent="0.25"/>
    <row r="62" s="25" customFormat="1" x14ac:dyDescent="0.25"/>
    <row r="63" s="25" customFormat="1" x14ac:dyDescent="0.25"/>
    <row r="64" s="25" customFormat="1" x14ac:dyDescent="0.25"/>
    <row r="65" s="25" customFormat="1" x14ac:dyDescent="0.25"/>
    <row r="66" s="25" customFormat="1" x14ac:dyDescent="0.25"/>
    <row r="67" s="25" customFormat="1" x14ac:dyDescent="0.25"/>
    <row r="68" s="25" customFormat="1" x14ac:dyDescent="0.25"/>
    <row r="69" s="25" customFormat="1" x14ac:dyDescent="0.25"/>
    <row r="70" s="25" customFormat="1" x14ac:dyDescent="0.25"/>
    <row r="71" s="25" customFormat="1" x14ac:dyDescent="0.25"/>
    <row r="72" s="25" customFormat="1" x14ac:dyDescent="0.25"/>
    <row r="73" s="25" customFormat="1" x14ac:dyDescent="0.25"/>
    <row r="74" s="25" customFormat="1" x14ac:dyDescent="0.25"/>
    <row r="75" s="25" customFormat="1" x14ac:dyDescent="0.25"/>
    <row r="76" s="25" customFormat="1" x14ac:dyDescent="0.25"/>
    <row r="77" s="25" customFormat="1" x14ac:dyDescent="0.25"/>
    <row r="78" s="25" customFormat="1" x14ac:dyDescent="0.25"/>
    <row r="79" s="25" customFormat="1" x14ac:dyDescent="0.25"/>
    <row r="80" s="25" customFormat="1" x14ac:dyDescent="0.25"/>
    <row r="81" s="25" customFormat="1" x14ac:dyDescent="0.25"/>
    <row r="82" s="25" customFormat="1" x14ac:dyDescent="0.25"/>
    <row r="83" s="25" customFormat="1" x14ac:dyDescent="0.25"/>
    <row r="84" s="25" customFormat="1" x14ac:dyDescent="0.25"/>
    <row r="85" s="25" customFormat="1" x14ac:dyDescent="0.25"/>
    <row r="86" s="25" customFormat="1" x14ac:dyDescent="0.25"/>
    <row r="87" s="25" customFormat="1" x14ac:dyDescent="0.25"/>
    <row r="88" s="25" customFormat="1" x14ac:dyDescent="0.25"/>
    <row r="89" s="25" customFormat="1" x14ac:dyDescent="0.25"/>
    <row r="90" s="25" customFormat="1" x14ac:dyDescent="0.25"/>
    <row r="91" s="25" customFormat="1" x14ac:dyDescent="0.25"/>
    <row r="92" s="25" customFormat="1" x14ac:dyDescent="0.25"/>
    <row r="93" s="25" customFormat="1" x14ac:dyDescent="0.25"/>
    <row r="94" s="25" customFormat="1" x14ac:dyDescent="0.25"/>
    <row r="95" s="25" customFormat="1" x14ac:dyDescent="0.25"/>
    <row r="96" s="25" customFormat="1" x14ac:dyDescent="0.25"/>
    <row r="97" s="25" customFormat="1" x14ac:dyDescent="0.25"/>
    <row r="98" s="25" customFormat="1" x14ac:dyDescent="0.25"/>
    <row r="99" s="25" customFormat="1" x14ac:dyDescent="0.25"/>
    <row r="100" s="25" customFormat="1" x14ac:dyDescent="0.25"/>
    <row r="101" s="25" customFormat="1" x14ac:dyDescent="0.25"/>
    <row r="102" s="25" customFormat="1" x14ac:dyDescent="0.25"/>
    <row r="103" s="25" customFormat="1" x14ac:dyDescent="0.25"/>
    <row r="104" s="25" customFormat="1" x14ac:dyDescent="0.25"/>
    <row r="105" s="25" customFormat="1" x14ac:dyDescent="0.25"/>
    <row r="106" s="25" customFormat="1" x14ac:dyDescent="0.25"/>
    <row r="107" s="25" customFormat="1" x14ac:dyDescent="0.25"/>
    <row r="108" s="25" customFormat="1" x14ac:dyDescent="0.25"/>
    <row r="109" s="25" customFormat="1" x14ac:dyDescent="0.25"/>
    <row r="110" s="25" customFormat="1" x14ac:dyDescent="0.25"/>
    <row r="111" s="25" customFormat="1" x14ac:dyDescent="0.25"/>
    <row r="112" s="25" customFormat="1" x14ac:dyDescent="0.25"/>
    <row r="113" s="25" customFormat="1" x14ac:dyDescent="0.25"/>
    <row r="114" s="25" customFormat="1" x14ac:dyDescent="0.25"/>
    <row r="115" s="25" customFormat="1" x14ac:dyDescent="0.25"/>
    <row r="116" s="25" customFormat="1" x14ac:dyDescent="0.25"/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9"/>
  <sheetViews>
    <sheetView tabSelected="1" zoomScale="91" zoomScaleNormal="120" workbookViewId="0"/>
  </sheetViews>
  <sheetFormatPr defaultColWidth="8.875" defaultRowHeight="15" x14ac:dyDescent="0.25"/>
  <cols>
    <col min="1" max="1" width="21.125" style="1" customWidth="1"/>
    <col min="2" max="2" width="17.875" style="1" customWidth="1"/>
    <col min="3" max="3" width="13.625" style="1" customWidth="1"/>
    <col min="4" max="4" width="15" style="1" customWidth="1"/>
    <col min="5" max="5" width="16.5" style="1" customWidth="1"/>
    <col min="6" max="6" width="7.5" style="1" customWidth="1"/>
    <col min="7" max="16384" width="8.875" style="1"/>
  </cols>
  <sheetData>
    <row r="1" spans="1:8" ht="17.25" x14ac:dyDescent="0.35">
      <c r="A1"/>
      <c r="B1"/>
      <c r="C1"/>
      <c r="D1"/>
      <c r="E1"/>
      <c r="F1"/>
      <c r="G1"/>
      <c r="H1"/>
    </row>
    <row r="2" spans="1:8" ht="17.25" x14ac:dyDescent="0.35">
      <c r="A2" s="51" t="s">
        <v>0</v>
      </c>
      <c r="B2" s="52"/>
      <c r="C2"/>
      <c r="D2" s="53" t="s">
        <v>13</v>
      </c>
      <c r="E2" s="54"/>
      <c r="F2"/>
      <c r="G2"/>
    </row>
    <row r="3" spans="1:8" ht="30.75" customHeight="1" x14ac:dyDescent="0.35">
      <c r="A3" s="27" t="s">
        <v>1</v>
      </c>
      <c r="B3" s="39">
        <v>43739</v>
      </c>
      <c r="C3"/>
      <c r="D3" s="26" t="s">
        <v>21</v>
      </c>
      <c r="E3" s="26" t="s">
        <v>2</v>
      </c>
      <c r="F3"/>
      <c r="G3"/>
    </row>
    <row r="4" spans="1:8" ht="19.5" x14ac:dyDescent="0.4">
      <c r="A4" s="27" t="s">
        <v>12</v>
      </c>
      <c r="B4" s="40" t="s">
        <v>47</v>
      </c>
      <c r="C4"/>
      <c r="D4" s="36" t="s">
        <v>25</v>
      </c>
      <c r="E4" s="36" t="s">
        <v>11</v>
      </c>
      <c r="F4"/>
    </row>
    <row r="5" spans="1:8" ht="19.5" x14ac:dyDescent="0.4">
      <c r="A5" s="28" t="s">
        <v>16</v>
      </c>
      <c r="B5" s="41" t="s">
        <v>24</v>
      </c>
      <c r="C5"/>
      <c r="D5" s="36" t="s">
        <v>26</v>
      </c>
      <c r="E5" s="36" t="s">
        <v>10</v>
      </c>
      <c r="F5"/>
    </row>
    <row r="6" spans="1:8" ht="19.5" x14ac:dyDescent="0.4">
      <c r="A6" s="28" t="s">
        <v>21</v>
      </c>
      <c r="B6" s="41" t="s">
        <v>29</v>
      </c>
      <c r="C6"/>
      <c r="D6" s="36" t="s">
        <v>27</v>
      </c>
      <c r="E6" s="36" t="s">
        <v>5</v>
      </c>
      <c r="F6"/>
    </row>
    <row r="7" spans="1:8" ht="19.5" x14ac:dyDescent="0.4">
      <c r="A7" s="28" t="s">
        <v>2</v>
      </c>
      <c r="B7" s="41" t="s">
        <v>6</v>
      </c>
      <c r="C7"/>
      <c r="D7" s="36" t="s">
        <v>28</v>
      </c>
      <c r="E7" s="36" t="s">
        <v>6</v>
      </c>
      <c r="F7"/>
    </row>
    <row r="8" spans="1:8" ht="19.5" x14ac:dyDescent="0.4">
      <c r="A8" s="27" t="s">
        <v>32</v>
      </c>
      <c r="B8" s="40" t="s">
        <v>48</v>
      </c>
      <c r="C8"/>
      <c r="D8" s="36" t="s">
        <v>29</v>
      </c>
      <c r="E8" s="36" t="s">
        <v>7</v>
      </c>
      <c r="F8"/>
    </row>
    <row r="9" spans="1:8" ht="17.25" x14ac:dyDescent="0.35">
      <c r="A9" s="28" t="s">
        <v>3</v>
      </c>
      <c r="B9" s="40" t="s">
        <v>49</v>
      </c>
      <c r="C9"/>
      <c r="D9"/>
      <c r="E9"/>
      <c r="F9"/>
    </row>
    <row r="10" spans="1:8" ht="17.25" x14ac:dyDescent="0.35">
      <c r="A10" s="28" t="s">
        <v>35</v>
      </c>
      <c r="B10" s="40" t="s">
        <v>50</v>
      </c>
      <c r="C10"/>
    </row>
    <row r="11" spans="1:8" ht="15" customHeight="1" thickBot="1" x14ac:dyDescent="0.4">
      <c r="A11" s="28" t="s">
        <v>4</v>
      </c>
      <c r="B11" s="42" t="s">
        <v>51</v>
      </c>
      <c r="C11"/>
    </row>
    <row r="12" spans="1:8" ht="17.25" x14ac:dyDescent="0.35">
      <c r="A12"/>
      <c r="B12"/>
      <c r="C12"/>
    </row>
    <row r="13" spans="1:8" ht="17.25" x14ac:dyDescent="0.35">
      <c r="A13" s="45" t="s">
        <v>33</v>
      </c>
      <c r="B13" s="46"/>
      <c r="C13"/>
    </row>
    <row r="14" spans="1:8" ht="17.25" x14ac:dyDescent="0.35">
      <c r="A14" s="33" t="s">
        <v>22</v>
      </c>
      <c r="B14" s="34">
        <v>50</v>
      </c>
      <c r="C14"/>
      <c r="D14"/>
      <c r="E14"/>
    </row>
    <row r="15" spans="1:8" ht="17.25" x14ac:dyDescent="0.35">
      <c r="A15" s="35" t="s">
        <v>23</v>
      </c>
      <c r="B15" s="34">
        <v>75</v>
      </c>
      <c r="C15"/>
      <c r="D15"/>
      <c r="E15"/>
    </row>
    <row r="16" spans="1:8" ht="15.75" customHeight="1" x14ac:dyDescent="0.35">
      <c r="A16" s="35" t="s">
        <v>24</v>
      </c>
      <c r="B16" s="34">
        <v>80</v>
      </c>
      <c r="C16"/>
      <c r="D16"/>
      <c r="E16"/>
    </row>
    <row r="17" spans="1:6" ht="18" thickBot="1" x14ac:dyDescent="0.4">
      <c r="A17"/>
      <c r="B17"/>
      <c r="C17"/>
      <c r="D17"/>
      <c r="E17"/>
      <c r="F17"/>
    </row>
    <row r="18" spans="1:6" ht="17.25" x14ac:dyDescent="0.35">
      <c r="A18" s="3"/>
      <c r="B18" s="4"/>
      <c r="C18" s="4"/>
      <c r="D18" s="4"/>
      <c r="E18" s="5"/>
      <c r="F18" s="6"/>
    </row>
    <row r="19" spans="1:6" ht="18.75" x14ac:dyDescent="0.3">
      <c r="A19" s="56" t="s">
        <v>17</v>
      </c>
      <c r="B19" s="57"/>
      <c r="C19" s="57"/>
      <c r="D19" s="57"/>
      <c r="E19" s="57"/>
      <c r="F19" s="58"/>
    </row>
    <row r="20" spans="1:6" x14ac:dyDescent="0.25">
      <c r="A20" s="7"/>
      <c r="B20" s="8"/>
      <c r="C20" s="8"/>
      <c r="D20" s="8"/>
      <c r="E20" s="8"/>
      <c r="F20" s="9"/>
    </row>
    <row r="21" spans="1:6" ht="21" x14ac:dyDescent="0.35">
      <c r="A21" s="48" t="s">
        <v>43</v>
      </c>
      <c r="B21" s="49"/>
      <c r="C21" s="49"/>
      <c r="D21" s="49"/>
      <c r="E21" s="49"/>
      <c r="F21" s="50"/>
    </row>
    <row r="22" spans="1:6" ht="21" x14ac:dyDescent="0.35">
      <c r="A22" s="48" t="s">
        <v>31</v>
      </c>
      <c r="B22" s="49"/>
      <c r="C22" s="49"/>
      <c r="D22" s="49"/>
      <c r="E22" s="49"/>
      <c r="F22" s="50"/>
    </row>
    <row r="23" spans="1:6" ht="21" x14ac:dyDescent="0.35">
      <c r="A23" s="48" t="s">
        <v>44</v>
      </c>
      <c r="B23" s="49"/>
      <c r="C23" s="49"/>
      <c r="D23" s="49"/>
      <c r="E23" s="49"/>
      <c r="F23" s="50"/>
    </row>
    <row r="24" spans="1:6" x14ac:dyDescent="0.25">
      <c r="A24" s="7"/>
      <c r="B24" s="8"/>
      <c r="C24" s="8"/>
      <c r="D24" s="8"/>
      <c r="E24" s="8"/>
      <c r="F24" s="9"/>
    </row>
    <row r="25" spans="1:6" ht="15.75" x14ac:dyDescent="0.25">
      <c r="A25" s="13"/>
      <c r="B25" s="14"/>
      <c r="C25" s="55" t="s">
        <v>1</v>
      </c>
      <c r="D25" s="55"/>
      <c r="E25" s="60">
        <f>Registation_Date</f>
        <v>43739</v>
      </c>
      <c r="F25" s="15"/>
    </row>
    <row r="26" spans="1:6" ht="15.75" x14ac:dyDescent="0.25">
      <c r="A26" s="13"/>
      <c r="B26" s="14"/>
      <c r="C26" s="16"/>
      <c r="D26" s="16"/>
      <c r="E26" s="14"/>
      <c r="F26" s="15"/>
    </row>
    <row r="27" spans="1:6" ht="15.75" x14ac:dyDescent="0.25">
      <c r="A27" s="17" t="s">
        <v>32</v>
      </c>
      <c r="B27" s="18" t="str">
        <f>Guardian</f>
        <v>Tiffa Boardman</v>
      </c>
      <c r="C27" s="55" t="s">
        <v>12</v>
      </c>
      <c r="D27" s="55"/>
      <c r="E27" s="43" t="str">
        <f>Youth_Name</f>
        <v>Henry Boardman</v>
      </c>
      <c r="F27" s="44"/>
    </row>
    <row r="28" spans="1:6" ht="15.75" x14ac:dyDescent="0.25">
      <c r="A28" s="17" t="s">
        <v>3</v>
      </c>
      <c r="B28" s="18" t="str">
        <f>Street_Address</f>
        <v>331 Walnut Ave.</v>
      </c>
      <c r="C28" s="55" t="s">
        <v>16</v>
      </c>
      <c r="D28" s="55"/>
      <c r="E28" s="43" t="str">
        <f>Event</f>
        <v>Zombietron Workshop</v>
      </c>
      <c r="F28" s="44"/>
    </row>
    <row r="29" spans="1:6" ht="15.75" x14ac:dyDescent="0.25">
      <c r="A29" s="17" t="s">
        <v>35</v>
      </c>
      <c r="B29" s="18" t="str">
        <f>City_Prov._Postal_Code</f>
        <v>Northport, ON N2K 3C6</v>
      </c>
      <c r="C29" s="55" t="s">
        <v>21</v>
      </c>
      <c r="D29" s="55"/>
      <c r="E29" s="19" t="str">
        <f>Grade</f>
        <v>G5</v>
      </c>
      <c r="F29" s="20"/>
    </row>
    <row r="30" spans="1:6" ht="15.75" x14ac:dyDescent="0.25">
      <c r="A30" s="17" t="s">
        <v>4</v>
      </c>
      <c r="B30" s="18" t="str">
        <f>Telephone</f>
        <v>519-555-1234</v>
      </c>
      <c r="C30" s="55" t="s">
        <v>2</v>
      </c>
      <c r="D30" s="55"/>
      <c r="E30" s="19" t="str">
        <f>Shirt_Size</f>
        <v>L</v>
      </c>
      <c r="F30" s="20"/>
    </row>
    <row r="31" spans="1:6" ht="15.75" x14ac:dyDescent="0.25">
      <c r="A31" s="17"/>
      <c r="B31" s="18"/>
      <c r="C31" s="31"/>
      <c r="D31" s="31"/>
      <c r="E31" s="32"/>
      <c r="F31" s="20"/>
    </row>
    <row r="32" spans="1:6" ht="15.75" x14ac:dyDescent="0.25">
      <c r="A32" s="17"/>
      <c r="B32" s="18"/>
      <c r="C32" s="31"/>
      <c r="D32" s="31"/>
      <c r="E32" s="32"/>
      <c r="F32" s="20"/>
    </row>
    <row r="33" spans="1:7" ht="17.25" x14ac:dyDescent="0.35">
      <c r="A33" s="17"/>
      <c r="B33" s="18"/>
      <c r="C33" s="31"/>
      <c r="D33" s="31"/>
      <c r="E33" s="32"/>
      <c r="F33" s="20"/>
      <c r="G33"/>
    </row>
    <row r="34" spans="1:7" ht="17.25" x14ac:dyDescent="0.35">
      <c r="A34" s="17"/>
      <c r="B34" s="18"/>
      <c r="C34" s="31"/>
      <c r="D34" s="31"/>
      <c r="E34" s="32"/>
      <c r="F34" s="20"/>
      <c r="G34"/>
    </row>
    <row r="35" spans="1:7" ht="17.25" x14ac:dyDescent="0.35">
      <c r="A35" s="13" t="s">
        <v>8</v>
      </c>
      <c r="B35" s="21"/>
      <c r="C35" s="16"/>
      <c r="D35" s="16"/>
      <c r="E35" s="14"/>
      <c r="F35" s="15"/>
      <c r="G35"/>
    </row>
    <row r="36" spans="1:7" ht="17.25" x14ac:dyDescent="0.35">
      <c r="A36" s="13"/>
      <c r="B36" s="14"/>
      <c r="C36" s="47" t="s">
        <v>9</v>
      </c>
      <c r="D36" s="47"/>
      <c r="E36" s="22">
        <f>VLOOKUP(E28,A14:B16,2,FALSE)</f>
        <v>80</v>
      </c>
      <c r="F36" s="15"/>
      <c r="G36"/>
    </row>
    <row r="37" spans="1:7" ht="18" thickBot="1" x14ac:dyDescent="0.4">
      <c r="A37" s="10"/>
      <c r="B37" s="11"/>
      <c r="C37" s="11"/>
      <c r="D37" s="11"/>
      <c r="E37" s="11"/>
      <c r="F37" s="12"/>
      <c r="G37"/>
    </row>
    <row r="38" spans="1:7" ht="17.25" x14ac:dyDescent="0.35">
      <c r="A38"/>
      <c r="B38"/>
      <c r="C38"/>
      <c r="D38"/>
      <c r="E38"/>
      <c r="F38"/>
      <c r="G38"/>
    </row>
    <row r="39" spans="1:7" ht="17.25" x14ac:dyDescent="0.35">
      <c r="A39" s="23" t="s">
        <v>30</v>
      </c>
      <c r="B39" s="25"/>
      <c r="C39" s="25"/>
      <c r="D39" s="25"/>
      <c r="E39" s="25"/>
      <c r="F39" s="25"/>
      <c r="G39"/>
    </row>
    <row r="40" spans="1:7" ht="17.25" x14ac:dyDescent="0.35">
      <c r="A40" s="24" t="str">
        <f>Guardian</f>
        <v>Tiffa Boardman</v>
      </c>
      <c r="B40" s="25" t="str">
        <f>Telephone</f>
        <v>519-555-1234</v>
      </c>
      <c r="C40" t="str">
        <f>Youth_Name</f>
        <v>Henry Boardman</v>
      </c>
      <c r="D40" t="str">
        <f>Event</f>
        <v>Zombietron Workshop</v>
      </c>
      <c r="E40" t="str">
        <f>Grade</f>
        <v>G5</v>
      </c>
      <c r="F40" s="24"/>
      <c r="G40"/>
    </row>
    <row r="41" spans="1:7" ht="17.25" x14ac:dyDescent="0.35">
      <c r="A41" s="25"/>
      <c r="B41"/>
      <c r="C41"/>
      <c r="D41"/>
      <c r="E41"/>
      <c r="F41"/>
      <c r="G41"/>
    </row>
    <row r="42" spans="1:7" ht="17.25" x14ac:dyDescent="0.35">
      <c r="A42"/>
      <c r="B42"/>
      <c r="C42"/>
      <c r="D42"/>
      <c r="E42"/>
      <c r="F42"/>
      <c r="G42"/>
    </row>
    <row r="43" spans="1:7" ht="17.25" x14ac:dyDescent="0.35">
      <c r="A43"/>
      <c r="B43"/>
      <c r="C43"/>
      <c r="D43"/>
      <c r="E43"/>
      <c r="F43"/>
      <c r="G43"/>
    </row>
    <row r="44" spans="1:7" ht="17.25" x14ac:dyDescent="0.35">
      <c r="A44"/>
      <c r="B44"/>
      <c r="C44"/>
      <c r="D44"/>
      <c r="E44"/>
      <c r="F44"/>
      <c r="G44"/>
    </row>
    <row r="45" spans="1:7" ht="17.25" x14ac:dyDescent="0.35">
      <c r="A45"/>
      <c r="B45"/>
      <c r="C45"/>
      <c r="D45"/>
      <c r="E45"/>
      <c r="F45"/>
      <c r="G45"/>
    </row>
    <row r="46" spans="1:7" ht="17.25" x14ac:dyDescent="0.35">
      <c r="A46"/>
      <c r="B46"/>
      <c r="C46"/>
      <c r="D46"/>
      <c r="E46"/>
      <c r="F46"/>
      <c r="G46"/>
    </row>
    <row r="47" spans="1:7" ht="17.25" x14ac:dyDescent="0.35">
      <c r="A47"/>
      <c r="B47"/>
      <c r="C47"/>
      <c r="D47"/>
      <c r="E47"/>
      <c r="F47"/>
    </row>
    <row r="48" spans="1:7" ht="17.25" x14ac:dyDescent="0.35">
      <c r="A48"/>
      <c r="B48"/>
      <c r="C48"/>
      <c r="D48"/>
      <c r="E48"/>
      <c r="F48"/>
    </row>
    <row r="49" spans="1:6" ht="17.25" x14ac:dyDescent="0.35">
      <c r="A49"/>
      <c r="B49"/>
      <c r="C49"/>
      <c r="D49"/>
      <c r="E49"/>
      <c r="F49"/>
    </row>
  </sheetData>
  <mergeCells count="15">
    <mergeCell ref="E28:F28"/>
    <mergeCell ref="A13:B13"/>
    <mergeCell ref="C36:D36"/>
    <mergeCell ref="A21:F21"/>
    <mergeCell ref="A2:B2"/>
    <mergeCell ref="D2:E2"/>
    <mergeCell ref="E27:F27"/>
    <mergeCell ref="C25:D25"/>
    <mergeCell ref="C27:D27"/>
    <mergeCell ref="C28:D28"/>
    <mergeCell ref="A22:F22"/>
    <mergeCell ref="A23:F23"/>
    <mergeCell ref="C29:D29"/>
    <mergeCell ref="C30:D30"/>
    <mergeCell ref="A19:F19"/>
  </mergeCells>
  <dataValidations count="5">
    <dataValidation type="date" operator="greaterThanOrEqual" allowBlank="1" showInputMessage="1" showErrorMessage="1" errorTitle="Invalid Registration Date " error="The registration date must_x000a_be present and &gt;= 1/1/2019" promptTitle="Registration Date" prompt="Enter the date on the registration form. " sqref="B3" xr:uid="{29E23442-CADD-44C9-9FA5-2D36B6A9637F}">
      <formula1>43466</formula1>
    </dataValidation>
    <dataValidation allowBlank="1" showInputMessage="1" showErrorMessage="1" promptTitle="Youth Name" prompt="Please enter the full name of the youth participant." sqref="B4" xr:uid="{AD8B02BC-FAFE-48A4-8C27-874BF931E93E}"/>
    <dataValidation type="list" allowBlank="1" showInputMessage="1" showErrorMessage="1" errorTitle="Invalid Event" promptTitle="Event" prompt="Click the arrow to select the Event. " sqref="B5" xr:uid="{69B5B339-E8C5-4C5E-8C4B-2F1600C7AA78}">
      <formula1>$A$14:$A$16</formula1>
    </dataValidation>
    <dataValidation type="list" allowBlank="1" showInputMessage="1" showErrorMessage="1" errorTitle="Invalid Grade" error="Use the arrow to select the Grade. " promptTitle="Grade" prompt="Click the arrow to select the Grade. " sqref="B6" xr:uid="{8DB1532C-7D5E-4385-8C5D-B36FC5DBCDF3}">
      <formula1>$D$4:$D$8</formula1>
    </dataValidation>
    <dataValidation type="list" allowBlank="1" showInputMessage="1" showErrorMessage="1" errorTitle="Invalid Shirt Size" error="Use the arrow to select the shirt size. " promptTitle="Shirt Size" sqref="B7" xr:uid="{7A8A70B7-ED65-4D7D-B9B9-AE014E83276E}">
      <formula1>$E$4:$E$8</formula1>
    </dataValidation>
  </dataValidations>
  <printOptions horizontalCentered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DFEvent">
                <anchor moveWithCells="1" sizeWithCells="1">
                  <from>
                    <xdr:col>2</xdr:col>
                    <xdr:colOff>1019175</xdr:colOff>
                    <xdr:row>9</xdr:row>
                    <xdr:rowOff>38100</xdr:rowOff>
                  </from>
                  <to>
                    <xdr:col>4</xdr:col>
                    <xdr:colOff>1219200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ransferData">
                <anchor moveWithCells="1" sizeWithCells="1">
                  <from>
                    <xdr:col>3</xdr:col>
                    <xdr:colOff>9525</xdr:colOff>
                    <xdr:row>11</xdr:row>
                    <xdr:rowOff>47625</xdr:rowOff>
                  </from>
                  <to>
                    <xdr:col>4</xdr:col>
                    <xdr:colOff>1238250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workbookViewId="0">
      <selection activeCell="C12" sqref="C12"/>
    </sheetView>
  </sheetViews>
  <sheetFormatPr defaultRowHeight="17.25" x14ac:dyDescent="0.35"/>
  <cols>
    <col min="1" max="1" width="16.625" customWidth="1"/>
    <col min="2" max="2" width="12.375" customWidth="1"/>
    <col min="3" max="3" width="15.75" customWidth="1"/>
    <col min="4" max="4" width="25.625" customWidth="1"/>
    <col min="6" max="6" width="11.5" customWidth="1"/>
  </cols>
  <sheetData>
    <row r="1" spans="1:6" x14ac:dyDescent="0.35">
      <c r="A1" t="s">
        <v>32</v>
      </c>
      <c r="B1" t="s">
        <v>4</v>
      </c>
      <c r="C1" t="s">
        <v>12</v>
      </c>
      <c r="D1" t="s">
        <v>16</v>
      </c>
      <c r="E1" t="s">
        <v>21</v>
      </c>
      <c r="F1" t="s">
        <v>2</v>
      </c>
    </row>
    <row r="2" spans="1:6" x14ac:dyDescent="0.35">
      <c r="A2" t="s">
        <v>45</v>
      </c>
      <c r="B2" t="s">
        <v>40</v>
      </c>
      <c r="C2" t="s">
        <v>36</v>
      </c>
      <c r="D2" t="s">
        <v>23</v>
      </c>
      <c r="E2" t="s">
        <v>28</v>
      </c>
      <c r="F2" t="s">
        <v>15</v>
      </c>
    </row>
    <row r="3" spans="1:6" x14ac:dyDescent="0.35">
      <c r="A3" t="s">
        <v>14</v>
      </c>
      <c r="B3" t="s">
        <v>41</v>
      </c>
      <c r="C3" t="s">
        <v>34</v>
      </c>
      <c r="D3" t="s">
        <v>22</v>
      </c>
      <c r="E3" t="s">
        <v>28</v>
      </c>
      <c r="F3" t="s">
        <v>5</v>
      </c>
    </row>
    <row r="4" spans="1:6" x14ac:dyDescent="0.35">
      <c r="A4" t="s">
        <v>38</v>
      </c>
      <c r="B4" t="s">
        <v>39</v>
      </c>
      <c r="C4" t="s">
        <v>42</v>
      </c>
      <c r="D4" t="s">
        <v>23</v>
      </c>
      <c r="E4" t="s">
        <v>28</v>
      </c>
      <c r="F4" t="s">
        <v>15</v>
      </c>
    </row>
    <row r="5" spans="1:6" x14ac:dyDescent="0.35">
      <c r="A5" s="24" t="str">
        <f>Guardian</f>
        <v>Tiffa Boardman</v>
      </c>
      <c r="B5" s="25" t="str">
        <f>Telephone</f>
        <v>519-555-1234</v>
      </c>
      <c r="C5" t="str">
        <f>Youth_Name</f>
        <v>Henry Boardman</v>
      </c>
      <c r="D5" t="str">
        <f>Event</f>
        <v>Zombietron Workshop</v>
      </c>
      <c r="E5" t="str">
        <f>Grade</f>
        <v>G5</v>
      </c>
      <c r="F5" s="24"/>
    </row>
    <row r="6" spans="1:6" x14ac:dyDescent="0.35">
      <c r="A6" s="24" t="str">
        <f>Guardian</f>
        <v>Tiffa Boardman</v>
      </c>
      <c r="B6" s="25" t="str">
        <f>Telephone</f>
        <v>519-555-1234</v>
      </c>
      <c r="C6" t="str">
        <f>Youth_Name</f>
        <v>Henry Boardman</v>
      </c>
      <c r="D6" t="str">
        <f>Event</f>
        <v>Zombietron Workshop</v>
      </c>
      <c r="E6" t="str">
        <f>Grade</f>
        <v>G5</v>
      </c>
      <c r="F6" s="24"/>
    </row>
  </sheetData>
  <sheetProtection sheet="1" objects="1" scenario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D2DE6939E22F459BEEA0E2C3C91518" ma:contentTypeVersion="13" ma:contentTypeDescription="Create a new document." ma:contentTypeScope="" ma:versionID="20615b8be3398d2fe0377ffd279cdb41">
  <xsd:schema xmlns:xsd="http://www.w3.org/2001/XMLSchema" xmlns:xs="http://www.w3.org/2001/XMLSchema" xmlns:p="http://schemas.microsoft.com/office/2006/metadata/properties" xmlns:ns3="8a957d34-4ec4-47ac-8eb7-11349095d8a4" xmlns:ns4="a0ae46a9-5c39-4198-a28c-d19af17328de" targetNamespace="http://schemas.microsoft.com/office/2006/metadata/properties" ma:root="true" ma:fieldsID="32a51fac758ce27f2e4520cdab610871" ns3:_="" ns4:_="">
    <xsd:import namespace="8a957d34-4ec4-47ac-8eb7-11349095d8a4"/>
    <xsd:import namespace="a0ae46a9-5c39-4198-a28c-d19af17328de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4:SharedWithUser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Details" minOccurs="0"/>
                <xsd:element ref="ns4:SharingHintHash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957d34-4ec4-47ac-8eb7-11349095d8a4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4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6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2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ae46a9-5c39-4198-a28c-d19af17328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PermissionLevels xmlns="8a957d34-4ec4-47ac-8eb7-11349095d8a4" xsi:nil="true"/>
    <MigrationWizIdPermissions xmlns="8a957d34-4ec4-47ac-8eb7-11349095d8a4" xsi:nil="true"/>
    <MigrationWizId xmlns="8a957d34-4ec4-47ac-8eb7-11349095d8a4" xsi:nil="true"/>
    <MigrationWizIdSecurityGroups xmlns="8a957d34-4ec4-47ac-8eb7-11349095d8a4" xsi:nil="true"/>
    <MigrationWizIdDocumentLibraryPermissions xmlns="8a957d34-4ec4-47ac-8eb7-11349095d8a4" xsi:nil="true"/>
  </documentManagement>
</p:properties>
</file>

<file path=customXml/itemProps1.xml><?xml version="1.0" encoding="utf-8"?>
<ds:datastoreItem xmlns:ds="http://schemas.openxmlformats.org/officeDocument/2006/customXml" ds:itemID="{4D6BA6B2-E4A6-415A-901E-5D9582A29A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957d34-4ec4-47ac-8eb7-11349095d8a4"/>
    <ds:schemaRef ds:uri="a0ae46a9-5c39-4198-a28c-d19af17328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DAA68E-03C3-4657-87FE-8F8568F173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677221-638C-4195-9B5D-B915A80CF62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a957d34-4ec4-47ac-8eb7-11349095d8a4"/>
    <ds:schemaRef ds:uri="a0ae46a9-5c39-4198-a28c-d19af17328de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Documentation</vt:lpstr>
      <vt:lpstr>Receipt</vt:lpstr>
      <vt:lpstr>Registration Data</vt:lpstr>
      <vt:lpstr>author</vt:lpstr>
      <vt:lpstr>City_Prov._Postal_Code</vt:lpstr>
      <vt:lpstr>Event</vt:lpstr>
      <vt:lpstr>Events</vt:lpstr>
      <vt:lpstr>Grade</vt:lpstr>
      <vt:lpstr>Guardian</vt:lpstr>
      <vt:lpstr>Registation_Date</vt:lpstr>
      <vt:lpstr>Registration_Data</vt:lpstr>
      <vt:lpstr>Shirt_Size</vt:lpstr>
      <vt:lpstr>Street_Address</vt:lpstr>
      <vt:lpstr>Telephone</vt:lpstr>
      <vt:lpstr>Youth_Info</vt:lpstr>
      <vt:lpstr>Youth_Name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Judy Harte</dc:creator>
  <cp:lastModifiedBy>Brock Ryan</cp:lastModifiedBy>
  <cp:lastPrinted>2020-01-15T22:20:02Z</cp:lastPrinted>
  <dcterms:created xsi:type="dcterms:W3CDTF">2016-11-03T00:23:16Z</dcterms:created>
  <dcterms:modified xsi:type="dcterms:W3CDTF">2020-01-15T22:20:40Z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0x01010070D2DE6939E22F459BEEA0E2C3C91518</vt:lpwstr>
  </property>
</Properties>
</file>